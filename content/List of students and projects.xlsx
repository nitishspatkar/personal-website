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ishpatkar/Documents/FHNW/IP projects/"/>
    </mc:Choice>
  </mc:AlternateContent>
  <xr:revisionPtr revIDLastSave="0" documentId="13_ncr:1_{62E9C257-C786-CD4B-88E5-CE0997F218AD}" xr6:coauthVersionLast="47" xr6:coauthVersionMax="47" xr10:uidLastSave="{00000000-0000-0000-0000-000000000000}"/>
  <bookViews>
    <workbookView xWindow="0" yWindow="660" windowWidth="30240" windowHeight="17260" xr2:uid="{D8B95D13-9F1F-3B45-9CE6-9C5CE23F4B5D}"/>
  </bookViews>
  <sheets>
    <sheet name="2026" sheetId="5" r:id="rId1"/>
    <sheet name="2025" sheetId="4" r:id="rId2"/>
    <sheet name="2024" sheetId="1" r:id="rId3"/>
    <sheet name="2023" sheetId="2" r:id="rId4"/>
    <sheet name="2022" sheetId="3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5" l="1"/>
  <c r="A5" i="5" s="1"/>
  <c r="A6" i="5" s="1"/>
  <c r="A7" i="5" s="1"/>
  <c r="A8" i="5" s="1"/>
  <c r="A3" i="5"/>
  <c r="A3" i="4"/>
  <c r="A4" i="4" s="1"/>
  <c r="A5" i="4" s="1"/>
  <c r="A6" i="4" s="1"/>
  <c r="A7" i="4" s="1"/>
  <c r="A8" i="4" s="1"/>
  <c r="A3" i="2"/>
  <c r="A4" i="2" s="1"/>
  <c r="A5" i="2" s="1"/>
  <c r="A6" i="2" s="1"/>
  <c r="A7" i="2" s="1"/>
  <c r="A8" i="2" s="1"/>
  <c r="A9" i="2" s="1"/>
  <c r="A10" i="2" s="1"/>
  <c r="A11" i="2" s="1"/>
  <c r="A12" i="2" s="1"/>
  <c r="A3" i="1"/>
  <c r="A4" i="1" s="1"/>
  <c r="A5" i="1" s="1"/>
  <c r="A6" i="1" s="1"/>
  <c r="A7" i="1" s="1"/>
  <c r="A8" i="1" s="1"/>
  <c r="A9" i="1" s="1"/>
  <c r="A10" i="1" s="1"/>
  <c r="A11" i="1" s="1"/>
  <c r="A12" i="1" s="1"/>
</calcChain>
</file>

<file path=xl/sharedStrings.xml><?xml version="1.0" encoding="utf-8"?>
<sst xmlns="http://schemas.openxmlformats.org/spreadsheetml/2006/main" count="249" uniqueCount="119">
  <si>
    <t>#</t>
  </si>
  <si>
    <t>Semester</t>
  </si>
  <si>
    <t>Title</t>
  </si>
  <si>
    <t>Students</t>
  </si>
  <si>
    <t>IP</t>
  </si>
  <si>
    <t>Summary</t>
  </si>
  <si>
    <t>IP5</t>
  </si>
  <si>
    <t>IP6</t>
  </si>
  <si>
    <t>FS24</t>
  </si>
  <si>
    <t>From Search to Trust: towards sustainable B2B matchmaking</t>
  </si>
  <si>
    <t xml:space="preserve">Marc Föry and Yves Hunziker </t>
  </si>
  <si>
    <t xml:space="preserve">Artha - The new way of water	</t>
  </si>
  <si>
    <t>Jan Zimmermann and Sven Ziörjen</t>
  </si>
  <si>
    <t>AI for RE - Providing AI Support for the Future Requirements Engineer</t>
  </si>
  <si>
    <t>Nathanael Düblin and Nadja Kälin</t>
  </si>
  <si>
    <t>X</t>
  </si>
  <si>
    <t>Analyse und Visualisierung von aufgezeichneten Trainingsdaten</t>
  </si>
  <si>
    <t>Elias Bräm and Francesco Lucia</t>
  </si>
  <si>
    <t>"What do you think, dear developer?"-- A Feedback-Driven Approach for better software development</t>
  </si>
  <si>
    <t>Nick Bauer and Petra Kohler</t>
  </si>
  <si>
    <t>Clean Energy Exchange (CEEX)</t>
  </si>
  <si>
    <t>Andrea Mangione and Dario Voser</t>
  </si>
  <si>
    <t>Roam Network - Community-Driven Network Transformation</t>
  </si>
  <si>
    <t>Elena Algaria and Yannick Hohler</t>
  </si>
  <si>
    <t>"What's that error?"-- let's make the error messages actionable</t>
  </si>
  <si>
    <t>Loren Desch and Antonio Salvia</t>
  </si>
  <si>
    <t>Innovative Prompt Management for LLMs</t>
  </si>
  <si>
    <t>Jack Gläser and Simon Lüscher</t>
  </si>
  <si>
    <t>HS23</t>
  </si>
  <si>
    <t>AI chart summarizer</t>
  </si>
  <si>
    <t>Florin Barbisch and Luca Mazzotta</t>
  </si>
  <si>
    <t>Marktplatz für „individuell" gewachsenes Obst und Gemüse: Unterstützung des Backoffice</t>
  </si>
  <si>
    <t>Yannick Hohler and Simona Mavilio</t>
  </si>
  <si>
    <t>Digital Horse Domain</t>
  </si>
  <si>
    <t>Karin Güdel and Petra Kohler</t>
  </si>
  <si>
    <t xml:space="preserve">The Swiss Indian startups/SMEs matchmaking platform	</t>
  </si>
  <si>
    <t>George Rowlands and Raphael Lüthy</t>
  </si>
  <si>
    <t>Sustainability Navigator für die FHNW</t>
  </si>
  <si>
    <t>Kevin Würsch and Philippe Fasel</t>
  </si>
  <si>
    <t>Giancarlo Leo and Henrique Dias Ferreira</t>
  </si>
  <si>
    <t>Fehleranalyse und -korrektur in aufgezeichneten Leistungsdaten von Fitness-Trackern</t>
  </si>
  <si>
    <t>lias Bräm and Francesco Lucia</t>
  </si>
  <si>
    <t>FS23</t>
  </si>
  <si>
    <t>Automatic Generation of User Interfaces</t>
  </si>
  <si>
    <t>Ana Cosic</t>
  </si>
  <si>
    <t xml:space="preserve">Clean Energy Exchange (CEEX): The Future of Energy Trading	</t>
  </si>
  <si>
    <t>Etienne Frei and Joel Messerli</t>
  </si>
  <si>
    <t>Analyse und Visualisierung von Verhaltensänderungen zur Förderung eines nachhaltigen Lebensstils</t>
  </si>
  <si>
    <t>Christian Gémesi and Lorin Desch</t>
  </si>
  <si>
    <t>Are user stories really "Done"? Gaining insights into the life of a user story after it's implemented</t>
  </si>
  <si>
    <t>Festim Jetishi and Jan Säuberli</t>
  </si>
  <si>
    <t>HS22</t>
  </si>
  <si>
    <t>Clean Energy Exchange (CEEX): The Future of Energy Trading</t>
  </si>
  <si>
    <t>Adaptive user interfaces</t>
  </si>
  <si>
    <t>Adhurim Gervalla and Julian Frey</t>
  </si>
  <si>
    <t>HS24</t>
  </si>
  <si>
    <t>Artha - The new way of water</t>
  </si>
  <si>
    <t>Stefan Simic and Damjan Stojanovic</t>
  </si>
  <si>
    <t>HackHub: Revolutionizing Data Management and Exchange in Hackatons</t>
  </si>
  <si>
    <t>Odelia Sephora Sajtschik</t>
  </si>
  <si>
    <t>FS25</t>
  </si>
  <si>
    <t>KI für Requirements Engineering - Unterstützung für den Requirements Engineer der Zukunft</t>
  </si>
  <si>
    <t>Hollinger Megan and Zürcher Ramona</t>
  </si>
  <si>
    <t>Smart Meter-App: Alltagshilfe für ältere Menschen</t>
  </si>
  <si>
    <t>Kumbartzki Raphael and Schwarb Francine</t>
  </si>
  <si>
    <t>Intuitiver Konfigurator für Schalldämmmaterialien in der Baubranche</t>
  </si>
  <si>
    <t>Christ Florian and Liechti Nicola</t>
  </si>
  <si>
    <t>HackHub: Revolutionierung des Datenmanagements und -austauschs bei Hackathons</t>
  </si>
  <si>
    <t>Koch Carmen and Wahl Tobias</t>
  </si>
  <si>
    <t>Plattform zur Analyse von Entwicklerzufriedenheit und Produktivität in agilen Teams</t>
  </si>
  <si>
    <t>Isenegger Xeno and Monterosa Gideon</t>
  </si>
  <si>
    <t>Better ways to manage prompts in LLM Chatbots</t>
  </si>
  <si>
    <t>AI-based assistant for personalized relocation</t>
  </si>
  <si>
    <t>KI-gestützte Neukonfiguration der Businessoftware enablerr</t>
  </si>
  <si>
    <t>Moritz Würth</t>
  </si>
  <si>
    <t>Hava Fuga</t>
  </si>
  <si>
    <t>AI Selfie App 2.0: Find yourself in a story</t>
  </si>
  <si>
    <t>Proposal Singed</t>
  </si>
  <si>
    <t>HS25</t>
  </si>
  <si>
    <t>Automated Creation, Validation, and Evolution of Personas</t>
  </si>
  <si>
    <t xml:space="preserve">Miro De Nardo and Andrin Sibold	</t>
  </si>
  <si>
    <t>Interactive Simulation of Grid Flexibility Using Configurable Energy Devices</t>
  </si>
  <si>
    <t xml:space="preserve">Eric Brukner and Merlin van der Kolk	</t>
  </si>
  <si>
    <t>Smart Companion: Adaptive Support and Smart Energy Feedback for Elderly People</t>
  </si>
  <si>
    <t>Interactive Dashboard for Longitudinal Analysis of Digital Sustainability Survey Data</t>
  </si>
  <si>
    <t xml:space="preserve">Orkun Atasoy and Timon Gisler	</t>
  </si>
  <si>
    <t>Advancing Yappi: Intelligent Integration of Developer Well-Being and Productivity Data</t>
  </si>
  <si>
    <t>Intuitiver Konfigurator für Schalldämmmaterialien in der Baubranche 2.0</t>
  </si>
  <si>
    <t>Liechti Nicola</t>
  </si>
  <si>
    <t>Automation and personalization of the relocation process</t>
  </si>
  <si>
    <t xml:space="preserve">Selina Lanz and Michelle Rickenmann	</t>
  </si>
  <si>
    <t>FS26</t>
  </si>
  <si>
    <t>How Green Is Your Ride? Calculating the Carbon Footprint of Mobility</t>
  </si>
  <si>
    <t>Atasoy	 Orkun, Gisler Timon</t>
  </si>
  <si>
    <t>Mahenthirarajah Thanushigaa, Thillainathan Mithuna</t>
  </si>
  <si>
    <t>Bloem: A Digital Platform for Circular Fashion and Sustainable Consumption</t>
  </si>
  <si>
    <t>Karaca	 Emirhan, Sezairi Emil</t>
  </si>
  <si>
    <t>Was kann Nutzerfeedback über die Nachhaltigkeit von Software verraten?</t>
  </si>
  <si>
    <t>Kolar Dominik, Nagl Nico</t>
  </si>
  <si>
    <t>BadenConnect: A Matchmaking Platform to Support the Baden 4.0 Initiative</t>
  </si>
  <si>
    <t>Nana Luca, Oleniuc Andrei</t>
  </si>
  <si>
    <t>Kreatives Storytelling und digitale Teilhabe im Museum: App-Konzept für technikferne Zielgruppen</t>
  </si>
  <si>
    <t>Bähler Fabian, Hofmann Yanik</t>
  </si>
  <si>
    <t>Note</t>
  </si>
  <si>
    <t>Kickoff 2 March</t>
  </si>
  <si>
    <t>Kickoff 24 Feb</t>
  </si>
  <si>
    <t>HS26</t>
  </si>
  <si>
    <t>Staying Cool - Digitale Plattform für klimaangepasste Stadtgestaltung</t>
  </si>
  <si>
    <t>Pizzolato Matias, Zuberbühler Florin</t>
  </si>
  <si>
    <t>Cyber-Security verständlich machen - ein Entscheidungstool für NPOs und KMUs</t>
  </si>
  <si>
    <t>Ebrahimkhil Zaid, Sharifi Elham</t>
  </si>
  <si>
    <t>SusTrack: Nachhaltigkeits-Trends in App-Reviews erkennen</t>
  </si>
  <si>
    <t>Fehlmann Tim, Vaskivska Oleksandra</t>
  </si>
  <si>
    <t>Geführter Produktkonfigurator für Laien in der Baubranche</t>
  </si>
  <si>
    <t>Kalemci Hacer, Tharshan Larissa</t>
  </si>
  <si>
    <t>Rollenspezifische Wohlbefindensmessungen in agilen Entwicklungsteams</t>
  </si>
  <si>
    <t>Karaca Emirhan, Thiruchchelvam Prathap</t>
  </si>
  <si>
    <t>Effizient und sicher durchs Zementwerk - ein digitales Verkehrsleitsystem für Jura-Cement</t>
  </si>
  <si>
    <t>Meier Maurice, Senthilrajan Aswin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</si>
</sst>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center" vertical="center" wrapText="1"/>
    </xf>
    <xf numFmtId="0" fontId="0" fillId="2" borderId="0" xfId="0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83CC0-3ABF-414C-8274-E5784B826BA6}">
  <dimension ref="A1:G17"/>
  <sheetViews>
    <sheetView tabSelected="1" topLeftCell="B4" zoomScale="184" workbookViewId="0">
      <selection activeCell="D15" sqref="D15"/>
    </sheetView>
  </sheetViews>
  <sheetFormatPr baseColWidth="10" defaultRowHeight="16" x14ac:dyDescent="0.2"/>
  <cols>
    <col min="1" max="1" width="4.33203125" style="1" customWidth="1"/>
    <col min="2" max="2" width="6.5" style="1" customWidth="1"/>
    <col min="3" max="3" width="10.83203125" style="1"/>
    <col min="4" max="4" width="56.33203125" style="8" bestFit="1" customWidth="1"/>
    <col min="5" max="5" width="44.33203125" style="1" bestFit="1" customWidth="1"/>
    <col min="6" max="6" width="32.33203125" style="1" customWidth="1"/>
    <col min="7" max="7" width="14.5" style="1" bestFit="1" customWidth="1"/>
    <col min="8" max="16384" width="10.83203125" style="1"/>
  </cols>
  <sheetData>
    <row r="1" spans="1:7" s="2" customFormat="1" ht="32" customHeight="1" x14ac:dyDescent="0.2">
      <c r="A1" s="3" t="s">
        <v>0</v>
      </c>
      <c r="B1" s="3" t="s">
        <v>4</v>
      </c>
      <c r="C1" s="3" t="s">
        <v>1</v>
      </c>
      <c r="D1" s="6" t="s">
        <v>2</v>
      </c>
      <c r="E1" s="3" t="s">
        <v>3</v>
      </c>
      <c r="F1" s="3" t="s">
        <v>103</v>
      </c>
      <c r="G1" s="2" t="s">
        <v>77</v>
      </c>
    </row>
    <row r="2" spans="1:7" ht="34" x14ac:dyDescent="0.2">
      <c r="A2" s="4">
        <v>1</v>
      </c>
      <c r="B2" s="5" t="s">
        <v>7</v>
      </c>
      <c r="C2" s="4" t="s">
        <v>91</v>
      </c>
      <c r="D2" s="7" t="s">
        <v>65</v>
      </c>
      <c r="E2" s="11" t="s">
        <v>93</v>
      </c>
      <c r="F2" s="4" t="s">
        <v>105</v>
      </c>
    </row>
    <row r="3" spans="1:7" ht="34" x14ac:dyDescent="0.2">
      <c r="A3" s="4">
        <f>A2+1</f>
        <v>2</v>
      </c>
      <c r="B3" s="5" t="s">
        <v>7</v>
      </c>
      <c r="C3" s="4" t="s">
        <v>91</v>
      </c>
      <c r="D3" s="7" t="s">
        <v>92</v>
      </c>
      <c r="E3" s="4" t="s">
        <v>94</v>
      </c>
      <c r="F3" s="4" t="s">
        <v>105</v>
      </c>
    </row>
    <row r="4" spans="1:7" ht="34" x14ac:dyDescent="0.2">
      <c r="A4" s="4">
        <f t="shared" ref="A4:A8" si="0">A3+1</f>
        <v>3</v>
      </c>
      <c r="B4" s="4" t="s">
        <v>6</v>
      </c>
      <c r="C4" s="4" t="s">
        <v>91</v>
      </c>
      <c r="D4" s="7" t="s">
        <v>95</v>
      </c>
      <c r="E4" s="4" t="s">
        <v>96</v>
      </c>
      <c r="F4" s="4" t="s">
        <v>105</v>
      </c>
    </row>
    <row r="5" spans="1:7" ht="34" x14ac:dyDescent="0.2">
      <c r="A5" s="4">
        <f t="shared" si="0"/>
        <v>4</v>
      </c>
      <c r="B5" s="5" t="s">
        <v>7</v>
      </c>
      <c r="C5" s="4" t="s">
        <v>91</v>
      </c>
      <c r="D5" s="7" t="s">
        <v>97</v>
      </c>
      <c r="E5" s="4" t="s">
        <v>98</v>
      </c>
      <c r="F5" s="4" t="s">
        <v>105</v>
      </c>
    </row>
    <row r="6" spans="1:7" ht="34" x14ac:dyDescent="0.2">
      <c r="A6" s="4">
        <f t="shared" si="0"/>
        <v>5</v>
      </c>
      <c r="B6" s="4" t="s">
        <v>6</v>
      </c>
      <c r="C6" s="4" t="s">
        <v>91</v>
      </c>
      <c r="D6" s="7" t="s">
        <v>99</v>
      </c>
      <c r="E6" s="4" t="s">
        <v>100</v>
      </c>
      <c r="F6" s="4" t="s">
        <v>104</v>
      </c>
    </row>
    <row r="7" spans="1:7" ht="34" x14ac:dyDescent="0.2">
      <c r="A7" s="4">
        <f t="shared" si="0"/>
        <v>6</v>
      </c>
      <c r="B7" s="4" t="s">
        <v>6</v>
      </c>
      <c r="C7" s="4" t="s">
        <v>91</v>
      </c>
      <c r="D7" s="7" t="s">
        <v>101</v>
      </c>
      <c r="E7" s="4" t="s">
        <v>102</v>
      </c>
      <c r="F7" s="4" t="s">
        <v>105</v>
      </c>
    </row>
    <row r="8" spans="1:7" ht="34" x14ac:dyDescent="0.2">
      <c r="A8" s="4">
        <f t="shared" si="0"/>
        <v>7</v>
      </c>
      <c r="B8" s="5" t="s">
        <v>7</v>
      </c>
      <c r="C8" s="4" t="s">
        <v>106</v>
      </c>
      <c r="D8" s="7" t="s">
        <v>107</v>
      </c>
      <c r="E8" s="4" t="s">
        <v>108</v>
      </c>
      <c r="F8" s="4"/>
    </row>
    <row r="9" spans="1:7" ht="34" x14ac:dyDescent="0.2">
      <c r="A9" s="4">
        <v>8</v>
      </c>
      <c r="B9" s="4" t="s">
        <v>6</v>
      </c>
      <c r="C9" s="4" t="s">
        <v>106</v>
      </c>
      <c r="D9" s="7" t="s">
        <v>109</v>
      </c>
      <c r="E9" s="4" t="s">
        <v>110</v>
      </c>
      <c r="F9" s="4"/>
    </row>
    <row r="10" spans="1:7" ht="17" x14ac:dyDescent="0.2">
      <c r="A10" s="4">
        <v>9</v>
      </c>
      <c r="B10" s="4" t="s">
        <v>6</v>
      </c>
      <c r="C10" s="4" t="s">
        <v>106</v>
      </c>
      <c r="D10" s="7" t="s">
        <v>111</v>
      </c>
      <c r="E10" s="4" t="s">
        <v>112</v>
      </c>
      <c r="F10" s="4"/>
    </row>
    <row r="11" spans="1:7" ht="17" x14ac:dyDescent="0.2">
      <c r="A11" s="4">
        <v>10</v>
      </c>
      <c r="B11" s="4" t="s">
        <v>6</v>
      </c>
      <c r="C11" s="4" t="s">
        <v>106</v>
      </c>
      <c r="D11" s="7" t="s">
        <v>113</v>
      </c>
      <c r="E11" s="11" t="s">
        <v>114</v>
      </c>
      <c r="F11" s="4"/>
    </row>
    <row r="12" spans="1:7" ht="34" x14ac:dyDescent="0.2">
      <c r="A12" s="4">
        <v>11</v>
      </c>
      <c r="B12" s="5" t="s">
        <v>7</v>
      </c>
      <c r="C12" s="4" t="s">
        <v>106</v>
      </c>
      <c r="D12" s="7" t="s">
        <v>115</v>
      </c>
      <c r="E12" s="4" t="s">
        <v>116</v>
      </c>
      <c r="F12" s="4"/>
    </row>
    <row r="13" spans="1:7" ht="34" x14ac:dyDescent="0.2">
      <c r="A13" s="1">
        <v>12</v>
      </c>
      <c r="B13" s="4" t="s">
        <v>6</v>
      </c>
      <c r="C13" s="1" t="s">
        <v>106</v>
      </c>
      <c r="D13" s="8" t="s">
        <v>117</v>
      </c>
      <c r="E13" s="4" t="s">
        <v>118</v>
      </c>
    </row>
    <row r="14" spans="1:7" x14ac:dyDescent="0.2">
      <c r="A14" s="1">
        <v>12</v>
      </c>
    </row>
    <row r="15" spans="1:7" x14ac:dyDescent="0.2">
      <c r="A15" s="1">
        <v>14</v>
      </c>
      <c r="B15" s="4"/>
      <c r="E15" s="4"/>
    </row>
    <row r="16" spans="1:7" x14ac:dyDescent="0.2">
      <c r="A16" s="1">
        <v>15</v>
      </c>
    </row>
    <row r="17" spans="1:1" x14ac:dyDescent="0.2">
      <c r="A17" s="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6DF48-05B1-C24A-A94C-6FD9BBABC6A9}">
  <dimension ref="A1:G9"/>
  <sheetViews>
    <sheetView zoomScale="108" workbookViewId="0">
      <selection activeCell="G9" sqref="G9"/>
    </sheetView>
  </sheetViews>
  <sheetFormatPr baseColWidth="10" defaultRowHeight="16" x14ac:dyDescent="0.2"/>
  <cols>
    <col min="1" max="1" width="4.33203125" style="1" customWidth="1"/>
    <col min="2" max="2" width="6.5" style="1" customWidth="1"/>
    <col min="3" max="3" width="10.83203125" style="1"/>
    <col min="4" max="4" width="56.33203125" style="8" bestFit="1" customWidth="1"/>
    <col min="5" max="5" width="41.5" style="1" bestFit="1" customWidth="1"/>
    <col min="6" max="6" width="32.33203125" style="1" customWidth="1"/>
    <col min="7" max="7" width="14.5" style="1" bestFit="1" customWidth="1"/>
    <col min="8" max="16384" width="10.83203125" style="1"/>
  </cols>
  <sheetData>
    <row r="1" spans="1:7" s="2" customFormat="1" ht="32" customHeight="1" x14ac:dyDescent="0.2">
      <c r="A1" s="3" t="s">
        <v>0</v>
      </c>
      <c r="B1" s="3" t="s">
        <v>4</v>
      </c>
      <c r="C1" s="3" t="s">
        <v>1</v>
      </c>
      <c r="D1" s="6" t="s">
        <v>2</v>
      </c>
      <c r="E1" s="3" t="s">
        <v>3</v>
      </c>
      <c r="F1" s="3" t="s">
        <v>5</v>
      </c>
      <c r="G1" s="2" t="s">
        <v>77</v>
      </c>
    </row>
    <row r="2" spans="1:7" ht="34" x14ac:dyDescent="0.2">
      <c r="A2" s="4">
        <v>1</v>
      </c>
      <c r="B2" s="5" t="s">
        <v>7</v>
      </c>
      <c r="C2" s="4" t="s">
        <v>60</v>
      </c>
      <c r="D2" s="7" t="s">
        <v>61</v>
      </c>
      <c r="E2" s="4" t="s">
        <v>62</v>
      </c>
      <c r="F2" s="4"/>
    </row>
    <row r="3" spans="1:7" ht="17" x14ac:dyDescent="0.2">
      <c r="A3" s="4">
        <f>A2+1</f>
        <v>2</v>
      </c>
      <c r="B3" s="4" t="s">
        <v>6</v>
      </c>
      <c r="C3" s="4" t="s">
        <v>60</v>
      </c>
      <c r="D3" s="7" t="s">
        <v>63</v>
      </c>
      <c r="E3" s="4" t="s">
        <v>64</v>
      </c>
      <c r="F3" s="4"/>
    </row>
    <row r="4" spans="1:7" ht="34" x14ac:dyDescent="0.2">
      <c r="A4" s="4">
        <f t="shared" ref="A4:A8" si="0">A3+1</f>
        <v>3</v>
      </c>
      <c r="B4" s="4" t="s">
        <v>6</v>
      </c>
      <c r="C4" s="4" t="s">
        <v>60</v>
      </c>
      <c r="D4" s="7" t="s">
        <v>65</v>
      </c>
      <c r="E4" s="4" t="s">
        <v>66</v>
      </c>
      <c r="F4" s="4"/>
    </row>
    <row r="5" spans="1:7" ht="34" x14ac:dyDescent="0.2">
      <c r="A5" s="4">
        <f t="shared" si="0"/>
        <v>4</v>
      </c>
      <c r="B5" s="5" t="s">
        <v>7</v>
      </c>
      <c r="C5" s="4" t="s">
        <v>60</v>
      </c>
      <c r="D5" s="7" t="s">
        <v>67</v>
      </c>
      <c r="E5" s="4" t="s">
        <v>68</v>
      </c>
      <c r="F5" s="4"/>
    </row>
    <row r="6" spans="1:7" ht="34" x14ac:dyDescent="0.2">
      <c r="A6" s="4">
        <f t="shared" si="0"/>
        <v>5</v>
      </c>
      <c r="B6" s="4" t="s">
        <v>6</v>
      </c>
      <c r="C6" s="4" t="s">
        <v>60</v>
      </c>
      <c r="D6" s="7" t="s">
        <v>69</v>
      </c>
      <c r="E6" s="4" t="s">
        <v>70</v>
      </c>
      <c r="F6" s="4"/>
    </row>
    <row r="7" spans="1:7" ht="17" x14ac:dyDescent="0.2">
      <c r="A7" s="4">
        <f t="shared" si="0"/>
        <v>6</v>
      </c>
      <c r="B7" s="5" t="s">
        <v>7</v>
      </c>
      <c r="C7" s="4" t="s">
        <v>60</v>
      </c>
      <c r="D7" s="7" t="s">
        <v>71</v>
      </c>
      <c r="E7" s="4" t="s">
        <v>27</v>
      </c>
      <c r="F7" s="4"/>
    </row>
    <row r="8" spans="1:7" ht="17" x14ac:dyDescent="0.2">
      <c r="A8" s="4">
        <f t="shared" si="0"/>
        <v>7</v>
      </c>
      <c r="B8" s="5" t="s">
        <v>7</v>
      </c>
      <c r="C8" s="4" t="s">
        <v>60</v>
      </c>
      <c r="D8" s="7" t="s">
        <v>72</v>
      </c>
      <c r="E8" s="4" t="s">
        <v>57</v>
      </c>
      <c r="F8" s="4"/>
    </row>
    <row r="9" spans="1:7" ht="17" x14ac:dyDescent="0.2">
      <c r="A9" s="4">
        <v>8</v>
      </c>
      <c r="B9" s="5" t="s">
        <v>7</v>
      </c>
      <c r="C9" s="4" t="s">
        <v>60</v>
      </c>
      <c r="D9" s="7" t="s">
        <v>76</v>
      </c>
      <c r="E9" s="4" t="s">
        <v>75</v>
      </c>
      <c r="F9" s="4"/>
    </row>
    <row r="10" spans="1:7" ht="17" x14ac:dyDescent="0.2">
      <c r="A10" s="4">
        <v>9</v>
      </c>
      <c r="B10" s="4" t="s">
        <v>6</v>
      </c>
      <c r="C10" s="4" t="s">
        <v>78</v>
      </c>
      <c r="D10" s="7" t="s">
        <v>79</v>
      </c>
      <c r="E10" s="11" t="s">
        <v>80</v>
      </c>
      <c r="F10" s="4"/>
    </row>
    <row r="11" spans="1:7" ht="34" x14ac:dyDescent="0.2">
      <c r="A11" s="4">
        <v>10</v>
      </c>
      <c r="B11" s="4" t="s">
        <v>6</v>
      </c>
      <c r="C11" s="4" t="s">
        <v>78</v>
      </c>
      <c r="D11" s="7" t="s">
        <v>81</v>
      </c>
      <c r="E11" s="4" t="s">
        <v>82</v>
      </c>
      <c r="F11" s="4"/>
    </row>
    <row r="12" spans="1:7" ht="34" x14ac:dyDescent="0.2">
      <c r="A12" s="1">
        <v>11</v>
      </c>
      <c r="B12" s="5" t="s">
        <v>7</v>
      </c>
      <c r="C12" s="1" t="s">
        <v>78</v>
      </c>
      <c r="D12" s="8" t="s">
        <v>83</v>
      </c>
      <c r="E12" s="4" t="s">
        <v>64</v>
      </c>
    </row>
    <row r="13" spans="1:7" ht="34" x14ac:dyDescent="0.2">
      <c r="A13" s="1">
        <v>12</v>
      </c>
      <c r="B13" s="1" t="s">
        <v>6</v>
      </c>
      <c r="C13" s="1" t="s">
        <v>78</v>
      </c>
      <c r="D13" s="8" t="s">
        <v>84</v>
      </c>
      <c r="E13" s="1" t="s">
        <v>85</v>
      </c>
    </row>
    <row r="14" spans="1:7" ht="34" x14ac:dyDescent="0.2">
      <c r="A14" s="1">
        <v>13</v>
      </c>
      <c r="B14" s="5" t="s">
        <v>7</v>
      </c>
      <c r="C14" s="1" t="s">
        <v>78</v>
      </c>
      <c r="D14" s="8" t="s">
        <v>86</v>
      </c>
      <c r="E14" s="4" t="s">
        <v>70</v>
      </c>
    </row>
    <row r="15" spans="1:7" ht="34" x14ac:dyDescent="0.2">
      <c r="A15" s="1">
        <v>14</v>
      </c>
      <c r="B15" s="12" t="s">
        <v>7</v>
      </c>
      <c r="C15" s="1" t="s">
        <v>78</v>
      </c>
      <c r="D15" s="8" t="s">
        <v>87</v>
      </c>
      <c r="E15" s="1" t="s">
        <v>88</v>
      </c>
    </row>
    <row r="16" spans="1:5" ht="17" x14ac:dyDescent="0.2">
      <c r="A16" s="1">
        <v>15</v>
      </c>
      <c r="B16" s="1" t="s">
        <v>6</v>
      </c>
      <c r="C16" s="1" t="s">
        <v>78</v>
      </c>
      <c r="D16" s="8" t="s">
        <v>89</v>
      </c>
      <c r="E16" s="1" t="s">
        <v>90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A044A-A885-FF46-9404-D5D5BE79B055}">
  <dimension ref="A1:F12"/>
  <sheetViews>
    <sheetView zoomScale="150" workbookViewId="0">
      <selection activeCell="D14" sqref="D14"/>
    </sheetView>
  </sheetViews>
  <sheetFormatPr baseColWidth="10" defaultRowHeight="16" x14ac:dyDescent="0.2"/>
  <cols>
    <col min="1" max="1" width="4.33203125" style="1" customWidth="1"/>
    <col min="2" max="2" width="6.5" style="1" customWidth="1"/>
    <col min="3" max="3" width="10.83203125" style="1"/>
    <col min="4" max="4" width="56.33203125" style="8" bestFit="1" customWidth="1"/>
    <col min="5" max="5" width="35" style="1" bestFit="1" customWidth="1"/>
    <col min="6" max="6" width="32.33203125" style="1" customWidth="1"/>
    <col min="7" max="16384" width="10.83203125" style="1"/>
  </cols>
  <sheetData>
    <row r="1" spans="1:6" s="2" customFormat="1" ht="32" customHeight="1" x14ac:dyDescent="0.2">
      <c r="A1" s="3" t="s">
        <v>0</v>
      </c>
      <c r="B1" s="3" t="s">
        <v>4</v>
      </c>
      <c r="C1" s="3" t="s">
        <v>1</v>
      </c>
      <c r="D1" s="6" t="s">
        <v>2</v>
      </c>
      <c r="E1" s="3" t="s">
        <v>3</v>
      </c>
      <c r="F1" s="3" t="s">
        <v>5</v>
      </c>
    </row>
    <row r="2" spans="1:6" ht="17" x14ac:dyDescent="0.2">
      <c r="A2" s="4">
        <v>1</v>
      </c>
      <c r="B2" s="4" t="s">
        <v>6</v>
      </c>
      <c r="C2" s="4" t="s">
        <v>8</v>
      </c>
      <c r="D2" s="7" t="s">
        <v>9</v>
      </c>
      <c r="E2" s="4" t="s">
        <v>10</v>
      </c>
      <c r="F2" s="4"/>
    </row>
    <row r="3" spans="1:6" ht="17" x14ac:dyDescent="0.2">
      <c r="A3" s="4">
        <f>A2+1</f>
        <v>2</v>
      </c>
      <c r="B3" s="4" t="s">
        <v>6</v>
      </c>
      <c r="C3" s="4" t="s">
        <v>8</v>
      </c>
      <c r="D3" s="7" t="s">
        <v>26</v>
      </c>
      <c r="E3" s="4" t="s">
        <v>27</v>
      </c>
      <c r="F3" s="4"/>
    </row>
    <row r="4" spans="1:6" ht="17" x14ac:dyDescent="0.2">
      <c r="A4" s="4">
        <f t="shared" ref="A4:A12" si="0">A3+1</f>
        <v>3</v>
      </c>
      <c r="B4" s="4" t="s">
        <v>6</v>
      </c>
      <c r="C4" s="4" t="s">
        <v>8</v>
      </c>
      <c r="D4" s="7" t="s">
        <v>11</v>
      </c>
      <c r="E4" s="4" t="s">
        <v>12</v>
      </c>
      <c r="F4" s="4"/>
    </row>
    <row r="5" spans="1:6" ht="17" x14ac:dyDescent="0.2">
      <c r="A5" s="4">
        <f t="shared" si="0"/>
        <v>4</v>
      </c>
      <c r="B5" s="5" t="s">
        <v>7</v>
      </c>
      <c r="C5" s="4" t="s">
        <v>8</v>
      </c>
      <c r="D5" s="7" t="s">
        <v>13</v>
      </c>
      <c r="E5" s="4" t="s">
        <v>14</v>
      </c>
      <c r="F5" s="4" t="s">
        <v>15</v>
      </c>
    </row>
    <row r="6" spans="1:6" ht="17" x14ac:dyDescent="0.2">
      <c r="A6" s="4">
        <f t="shared" si="0"/>
        <v>5</v>
      </c>
      <c r="B6" s="5" t="s">
        <v>7</v>
      </c>
      <c r="C6" s="4" t="s">
        <v>8</v>
      </c>
      <c r="D6" s="7" t="s">
        <v>16</v>
      </c>
      <c r="E6" s="4" t="s">
        <v>17</v>
      </c>
      <c r="F6" s="4"/>
    </row>
    <row r="7" spans="1:6" ht="34" x14ac:dyDescent="0.2">
      <c r="A7" s="4">
        <f t="shared" si="0"/>
        <v>6</v>
      </c>
      <c r="B7" s="5" t="s">
        <v>7</v>
      </c>
      <c r="C7" s="4" t="s">
        <v>8</v>
      </c>
      <c r="D7" s="7" t="s">
        <v>18</v>
      </c>
      <c r="E7" s="4" t="s">
        <v>19</v>
      </c>
      <c r="F7" s="4" t="s">
        <v>15</v>
      </c>
    </row>
    <row r="8" spans="1:6" ht="17" x14ac:dyDescent="0.2">
      <c r="A8" s="4">
        <f t="shared" si="0"/>
        <v>7</v>
      </c>
      <c r="B8" s="5" t="s">
        <v>7</v>
      </c>
      <c r="C8" s="4" t="s">
        <v>8</v>
      </c>
      <c r="D8" s="7" t="s">
        <v>20</v>
      </c>
      <c r="E8" s="4" t="s">
        <v>21</v>
      </c>
      <c r="F8" s="4" t="s">
        <v>15</v>
      </c>
    </row>
    <row r="9" spans="1:6" ht="17" x14ac:dyDescent="0.2">
      <c r="A9" s="4">
        <f t="shared" si="0"/>
        <v>8</v>
      </c>
      <c r="B9" s="5" t="s">
        <v>7</v>
      </c>
      <c r="C9" s="4" t="s">
        <v>8</v>
      </c>
      <c r="D9" s="7" t="s">
        <v>22</v>
      </c>
      <c r="E9" s="4" t="s">
        <v>23</v>
      </c>
      <c r="F9" s="4"/>
    </row>
    <row r="10" spans="1:6" ht="17" x14ac:dyDescent="0.2">
      <c r="A10" s="4">
        <f t="shared" si="0"/>
        <v>9</v>
      </c>
      <c r="B10" s="5" t="s">
        <v>7</v>
      </c>
      <c r="C10" s="4" t="s">
        <v>8</v>
      </c>
      <c r="D10" s="7" t="s">
        <v>24</v>
      </c>
      <c r="E10" s="4" t="s">
        <v>25</v>
      </c>
      <c r="F10" s="4"/>
    </row>
    <row r="11" spans="1:6" ht="17" x14ac:dyDescent="0.2">
      <c r="A11" s="4">
        <f t="shared" si="0"/>
        <v>10</v>
      </c>
      <c r="B11" s="4" t="s">
        <v>6</v>
      </c>
      <c r="C11" s="4" t="s">
        <v>55</v>
      </c>
      <c r="D11" s="7" t="s">
        <v>56</v>
      </c>
      <c r="E11" s="4" t="s">
        <v>57</v>
      </c>
      <c r="F11" s="4"/>
    </row>
    <row r="12" spans="1:6" ht="34" x14ac:dyDescent="0.2">
      <c r="A12" s="4">
        <f t="shared" si="0"/>
        <v>11</v>
      </c>
      <c r="B12" s="4" t="s">
        <v>6</v>
      </c>
      <c r="C12" s="4" t="s">
        <v>55</v>
      </c>
      <c r="D12" s="7" t="s">
        <v>58</v>
      </c>
      <c r="E12" s="4" t="s">
        <v>59</v>
      </c>
      <c r="F12" s="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B200D-358F-8C4C-AFA9-72D981E14D3F}">
  <dimension ref="A1:F12"/>
  <sheetViews>
    <sheetView zoomScale="132" workbookViewId="0">
      <selection activeCell="D17" sqref="D17"/>
    </sheetView>
  </sheetViews>
  <sheetFormatPr baseColWidth="10" defaultRowHeight="16" x14ac:dyDescent="0.2"/>
  <cols>
    <col min="1" max="1" width="4.33203125" style="1" customWidth="1"/>
    <col min="2" max="2" width="6.5" style="1" customWidth="1"/>
    <col min="3" max="3" width="10.83203125" style="1"/>
    <col min="4" max="4" width="46.6640625" style="8" customWidth="1"/>
    <col min="5" max="5" width="35.6640625" style="1" customWidth="1"/>
    <col min="6" max="6" width="25.83203125" style="1" customWidth="1"/>
    <col min="7" max="16384" width="10.83203125" style="1"/>
  </cols>
  <sheetData>
    <row r="1" spans="1:6" s="2" customFormat="1" ht="32" customHeight="1" x14ac:dyDescent="0.2">
      <c r="A1" s="3" t="s">
        <v>0</v>
      </c>
      <c r="B1" s="3" t="s">
        <v>4</v>
      </c>
      <c r="C1" s="3" t="s">
        <v>1</v>
      </c>
      <c r="D1" s="6" t="s">
        <v>2</v>
      </c>
      <c r="E1" s="3" t="s">
        <v>3</v>
      </c>
      <c r="F1" s="2" t="s">
        <v>5</v>
      </c>
    </row>
    <row r="2" spans="1:6" ht="17" x14ac:dyDescent="0.2">
      <c r="A2" s="4">
        <v>1</v>
      </c>
      <c r="B2" s="4" t="s">
        <v>6</v>
      </c>
      <c r="C2" s="4" t="s">
        <v>28</v>
      </c>
      <c r="D2" s="7" t="s">
        <v>29</v>
      </c>
      <c r="E2" s="4" t="s">
        <v>30</v>
      </c>
    </row>
    <row r="3" spans="1:6" ht="34" x14ac:dyDescent="0.2">
      <c r="A3" s="4">
        <f>A2+1</f>
        <v>2</v>
      </c>
      <c r="B3" s="4" t="s">
        <v>6</v>
      </c>
      <c r="C3" s="4" t="s">
        <v>28</v>
      </c>
      <c r="D3" s="7" t="s">
        <v>31</v>
      </c>
      <c r="E3" s="4" t="s">
        <v>32</v>
      </c>
    </row>
    <row r="4" spans="1:6" ht="17" x14ac:dyDescent="0.2">
      <c r="A4" s="4">
        <f t="shared" ref="A4:A12" si="0">A3+1</f>
        <v>3</v>
      </c>
      <c r="B4" s="4" t="s">
        <v>6</v>
      </c>
      <c r="C4" s="4" t="s">
        <v>28</v>
      </c>
      <c r="D4" s="7" t="s">
        <v>33</v>
      </c>
      <c r="E4" s="4" t="s">
        <v>34</v>
      </c>
    </row>
    <row r="5" spans="1:6" ht="17" x14ac:dyDescent="0.2">
      <c r="A5" s="4">
        <f t="shared" si="0"/>
        <v>4</v>
      </c>
      <c r="B5" s="4" t="s">
        <v>6</v>
      </c>
      <c r="C5" s="4" t="s">
        <v>28</v>
      </c>
      <c r="D5" s="7" t="s">
        <v>37</v>
      </c>
      <c r="E5" s="4" t="s">
        <v>38</v>
      </c>
    </row>
    <row r="6" spans="1:6" ht="17" x14ac:dyDescent="0.2">
      <c r="A6" s="4">
        <f t="shared" si="0"/>
        <v>5</v>
      </c>
      <c r="B6" s="4" t="s">
        <v>6</v>
      </c>
      <c r="C6" s="4" t="s">
        <v>28</v>
      </c>
      <c r="D6" s="7" t="s">
        <v>20</v>
      </c>
      <c r="E6" s="4" t="s">
        <v>39</v>
      </c>
    </row>
    <row r="7" spans="1:6" ht="34" x14ac:dyDescent="0.2">
      <c r="A7" s="4">
        <f t="shared" si="0"/>
        <v>6</v>
      </c>
      <c r="B7" s="4" t="s">
        <v>6</v>
      </c>
      <c r="C7" s="4" t="s">
        <v>28</v>
      </c>
      <c r="D7" s="7" t="s">
        <v>40</v>
      </c>
      <c r="E7" s="4" t="s">
        <v>41</v>
      </c>
    </row>
    <row r="8" spans="1:6" ht="17" x14ac:dyDescent="0.2">
      <c r="A8" s="4">
        <f>A7+1</f>
        <v>7</v>
      </c>
      <c r="B8" s="5" t="s">
        <v>7</v>
      </c>
      <c r="C8" s="4" t="s">
        <v>28</v>
      </c>
      <c r="D8" s="7" t="s">
        <v>35</v>
      </c>
      <c r="E8" s="4" t="s">
        <v>36</v>
      </c>
    </row>
    <row r="9" spans="1:6" ht="17" x14ac:dyDescent="0.2">
      <c r="A9" s="4">
        <f t="shared" si="0"/>
        <v>8</v>
      </c>
      <c r="B9" s="5" t="s">
        <v>7</v>
      </c>
      <c r="C9" s="4" t="s">
        <v>42</v>
      </c>
      <c r="D9" s="7" t="s">
        <v>43</v>
      </c>
      <c r="E9" s="4" t="s">
        <v>44</v>
      </c>
    </row>
    <row r="10" spans="1:6" ht="34" x14ac:dyDescent="0.2">
      <c r="A10" s="4">
        <f t="shared" si="0"/>
        <v>9</v>
      </c>
      <c r="B10" s="4" t="s">
        <v>6</v>
      </c>
      <c r="C10" s="4" t="s">
        <v>42</v>
      </c>
      <c r="D10" s="7" t="s">
        <v>45</v>
      </c>
      <c r="E10" s="4" t="s">
        <v>46</v>
      </c>
    </row>
    <row r="11" spans="1:6" ht="34" x14ac:dyDescent="0.2">
      <c r="A11" s="4">
        <f t="shared" si="0"/>
        <v>10</v>
      </c>
      <c r="B11" s="4" t="s">
        <v>6</v>
      </c>
      <c r="C11" s="4" t="s">
        <v>42</v>
      </c>
      <c r="D11" s="7" t="s">
        <v>47</v>
      </c>
      <c r="E11" s="4" t="s">
        <v>48</v>
      </c>
    </row>
    <row r="12" spans="1:6" ht="34" x14ac:dyDescent="0.2">
      <c r="A12" s="4">
        <f t="shared" si="0"/>
        <v>11</v>
      </c>
      <c r="B12" s="4" t="s">
        <v>6</v>
      </c>
      <c r="C12" s="4" t="s">
        <v>42</v>
      </c>
      <c r="D12" s="7" t="s">
        <v>49</v>
      </c>
      <c r="E12" s="4" t="s">
        <v>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DFA057-1A56-F34A-AFC2-2C3250CD8A9E}">
  <dimension ref="A1:F3"/>
  <sheetViews>
    <sheetView workbookViewId="0">
      <selection activeCell="E21" sqref="E21"/>
    </sheetView>
  </sheetViews>
  <sheetFormatPr baseColWidth="10" defaultRowHeight="16" x14ac:dyDescent="0.2"/>
  <cols>
    <col min="1" max="1" width="4.33203125" style="1" customWidth="1"/>
    <col min="2" max="2" width="6.5" style="1" customWidth="1"/>
    <col min="3" max="3" width="10.83203125" style="1"/>
    <col min="4" max="4" width="49.83203125" style="10" bestFit="1" customWidth="1"/>
    <col min="5" max="5" width="30.6640625" style="1" bestFit="1" customWidth="1"/>
    <col min="6" max="16384" width="10.83203125" style="1"/>
  </cols>
  <sheetData>
    <row r="1" spans="1:6" s="2" customFormat="1" ht="32" customHeight="1" x14ac:dyDescent="0.2">
      <c r="A1" s="2" t="s">
        <v>0</v>
      </c>
      <c r="B1" s="2" t="s">
        <v>4</v>
      </c>
      <c r="C1" s="2" t="s">
        <v>1</v>
      </c>
      <c r="D1" s="9" t="s">
        <v>2</v>
      </c>
      <c r="E1" s="2" t="s">
        <v>3</v>
      </c>
      <c r="F1" s="2" t="s">
        <v>5</v>
      </c>
    </row>
    <row r="2" spans="1:6" x14ac:dyDescent="0.2">
      <c r="A2" s="1">
        <v>1</v>
      </c>
      <c r="B2" s="1" t="s">
        <v>6</v>
      </c>
      <c r="C2" s="1" t="s">
        <v>51</v>
      </c>
      <c r="D2" s="10" t="s">
        <v>52</v>
      </c>
      <c r="E2" s="1" t="s">
        <v>36</v>
      </c>
    </row>
    <row r="3" spans="1:6" x14ac:dyDescent="0.2">
      <c r="A3" s="1">
        <v>2</v>
      </c>
      <c r="B3" s="1" t="s">
        <v>6</v>
      </c>
      <c r="C3" s="1" t="s">
        <v>51</v>
      </c>
      <c r="D3" s="10" t="s">
        <v>53</v>
      </c>
      <c r="E3" s="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2026</vt:lpstr>
      <vt:lpstr>2025</vt:lpstr>
      <vt:lpstr>2024</vt:lpstr>
      <vt:lpstr>2023</vt:lpstr>
      <vt:lpstr>2022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Patkar, Nitish Shriniwas (STUDENTS)</dc:creator>
  <cp:lastModifiedBy>Anonymous</cp:lastModifiedBy>
  <dcterms:created xsi:type="dcterms:W3CDTF">2024-08-16T13:37:06Z</dcterms:created>
  <dcterms:modified xsi:type="dcterms:W3CDTF">2026-07-06T13:36:45Z</dcterms:modified>
</cp:coreProperties>
</file>